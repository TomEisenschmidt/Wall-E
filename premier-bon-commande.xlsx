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07F343-4E0A-4DB5-A78F-C7833DCC0233}" xr6:coauthVersionLast="47" xr6:coauthVersionMax="47" xr10:uidLastSave="{00000000-0000-0000-0000-000000000000}"/>
  <bookViews>
    <workbookView xWindow="-108" yWindow="-108" windowWidth="23256" windowHeight="12456" xr2:uid="{628229A8-2AAB-4DC0-91F2-C8509B4C66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Q9" i="1"/>
  <c r="Q8" i="1"/>
  <c r="Q7" i="1"/>
  <c r="Q6" i="1"/>
  <c r="Q5" i="1"/>
  <c r="Q4" i="1"/>
  <c r="Q3" i="1"/>
  <c r="Q10" i="1" s="1"/>
  <c r="K5" i="1"/>
  <c r="K6" i="1"/>
  <c r="K7" i="1"/>
  <c r="K8" i="1"/>
  <c r="K9" i="1"/>
  <c r="K4" i="1"/>
  <c r="K3" i="1"/>
  <c r="E17" i="1" l="1"/>
  <c r="F20" i="1" s="1"/>
  <c r="K10" i="1"/>
</calcChain>
</file>

<file path=xl/sharedStrings.xml><?xml version="1.0" encoding="utf-8"?>
<sst xmlns="http://schemas.openxmlformats.org/spreadsheetml/2006/main" count="34" uniqueCount="18">
  <si>
    <t>Amazon</t>
  </si>
  <si>
    <t>Composant</t>
  </si>
  <si>
    <t>Lien</t>
  </si>
  <si>
    <t>Quantité</t>
  </si>
  <si>
    <t>Prix/Unitaire</t>
  </si>
  <si>
    <t>Total/produit</t>
  </si>
  <si>
    <t>gotronic</t>
  </si>
  <si>
    <t>Total</t>
  </si>
  <si>
    <t>Gotronic</t>
  </si>
  <si>
    <t>Total commande :</t>
  </si>
  <si>
    <t>74HC595 (micro-controller)</t>
  </si>
  <si>
    <t xml:space="preserve"> Arduino Mega 2560 (board arduino)</t>
  </si>
  <si>
    <t>Lot de 2 micro servo moteurs</t>
  </si>
  <si>
    <t>Palonnier rond en métal avec vis</t>
  </si>
  <si>
    <t>Conrad</t>
  </si>
  <si>
    <t>Pile</t>
  </si>
  <si>
    <t>conrad</t>
  </si>
  <si>
    <t>Support de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</si>
</sst>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fr/HAXIHA-Servomoteur-Num%C3%A9rique-Engrenage-Pr%C3%A9cision/dp/B0F892P2WQ?content-id=amzn1.sym.e99561e1-bd37-47c2-b274-8bf625b12cb8%3Aamzn1.sym.e99561e1-bd37-47c2-b274-8bf625b12cb8&amp;cv_ct_cx=servo+moteur+axe+metal&amp;keywords=servo+moteur+axe+metal&amp;pd_rd_i=B0F892P2WQ&amp;pd_rd_r=aa0859c8-c5b0-4ea2-ae10-71e4bd18791c&amp;pd_rd_w=ZRYW2&amp;pd_rd_wg=iqLXT&amp;pf_rd_p=e99561e1-bd37-47c2-b274-8bf625b12cb8&amp;pf_rd_r=FMQFTG2KRR3WM9PHTAGJ&amp;qid=1773126928&amp;sbo=RZvfv%2F%2FHxDF%2BO5021pAnSA%3D%3D&amp;sr=1-3-6911ff49-5df0-4e24-b896-054e803bb80d-spons&amp;aref=kyyZwfsACH&amp;sp_csd=d2lkZ2V0TmFtZT1zcF9zZWFyY2hfdGhlbWF0aWM&amp;psc=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tronic.fr/art-74hc595-10102.htm" TargetMode="External"/><Relationship Id="rId1" Type="http://schemas.openxmlformats.org/officeDocument/2006/relationships/hyperlink" Target="https://www.gotronic.fr/art-arduino-mega-2560-a000067-12421.htm" TargetMode="External"/><Relationship Id="rId6" Type="http://schemas.openxmlformats.org/officeDocument/2006/relationships/hyperlink" Target="http://www.amazon.fr/GTIWUNG-Support-Batterie-Plastique-Rangement/dp/B08CY5LC8M?dib=eyJ2IjoiMSJ9.SBOsx7nkF4DCNxM_lmwPKsKb1CaetkIfQbovN05ijkxeq4SO1jvbRLC9KNUgLrw8mvvIGclgIWZMurEZG-8V29ftRShaeI4vrsHKMa_7253rgNq5X7FyDf94gZH6Cq9jE8TBR_S94dMAM3RZsDmr0kDXekFGNJwHvtPoSLQF7lR634bjHFHq15efzvZ6m4I0j3DFxXbBomqyRqhBHro4n8gp2V9gqdUTY1GrNrLbYfQHs7PB1kGqhAaeXx55uuaTLBn94T6AuYIG0OkQ9IUCAsa1TXfgo_LpF7ZE87KQoVg.F2q8w1bop7LaVUpmee0iXtIS5wOe-uyzJ0XAhjuN8Gw&amp;dib_tag=se&amp;keywords=support%2Bpiles%2B18650&amp;qid=1773131860&amp;sr=8-6&amp;th=1" TargetMode="External"/><Relationship Id="rId5" Type="http://schemas.openxmlformats.org/officeDocument/2006/relationships/hyperlink" Target="https://www.conrad.fr/fr/p/voltcraft-vc-li-3-6-3000-pile-rechargeable-speciale-18650-flat-top-li-ion-3-6-v-3000-mah-1-pc-s-2749812.html" TargetMode="External"/><Relationship Id="rId4" Type="http://schemas.openxmlformats.org/officeDocument/2006/relationships/hyperlink" Target="https://www.gotronic.fr/art-palonnier-rond-25-dents-fk-rp-001-2585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F875-FE1A-4763-904E-96A263B04FFD}">
  <dimension ref="A1:Q20"/>
  <sheetViews>
    <sheetView tabSelected="1" workbookViewId="0">
      <selection activeCell="M5" sqref="M5"/>
    </sheetView>
  </sheetViews>
  <sheetFormatPr baseColWidth="10" defaultColWidth="11.44140625" defaultRowHeight="14.4" x14ac:dyDescent="0.3"/>
  <cols>
    <col min="1" max="1" width="19.33203125" style="4" customWidth="1"/>
    <col min="2" max="2" width="14.33203125" style="4" customWidth="1"/>
    <col min="3" max="3" width="13.88671875" style="4" customWidth="1"/>
    <col min="4" max="4" width="15" style="4" customWidth="1"/>
    <col min="5" max="5" width="13.44140625" style="4" customWidth="1"/>
    <col min="6" max="9" width="11.44140625" style="4"/>
    <col min="10" max="10" width="12.44140625" style="4" bestFit="1" customWidth="1"/>
    <col min="11" max="11" width="12.88671875" style="4" bestFit="1" customWidth="1"/>
    <col min="12" max="16384" width="11.44140625" style="4"/>
  </cols>
  <sheetData>
    <row r="1" spans="1:17" x14ac:dyDescent="0.3">
      <c r="A1" s="7" t="s">
        <v>0</v>
      </c>
      <c r="B1" s="7"/>
      <c r="C1" s="7"/>
      <c r="D1" s="7"/>
      <c r="E1" s="7"/>
      <c r="G1" s="7" t="s">
        <v>8</v>
      </c>
      <c r="H1" s="7"/>
      <c r="I1" s="7"/>
      <c r="J1" s="7"/>
      <c r="K1" s="7"/>
      <c r="M1" s="7" t="s">
        <v>14</v>
      </c>
      <c r="N1" s="7"/>
      <c r="O1" s="7"/>
      <c r="P1" s="7"/>
      <c r="Q1" s="7"/>
    </row>
    <row r="2" spans="1:17" ht="15" thickBo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M2" s="5" t="s">
        <v>1</v>
      </c>
      <c r="N2" s="5" t="s">
        <v>2</v>
      </c>
      <c r="O2" s="5" t="s">
        <v>3</v>
      </c>
      <c r="P2" s="5" t="s">
        <v>4</v>
      </c>
      <c r="Q2" s="5" t="s">
        <v>5</v>
      </c>
    </row>
    <row r="3" spans="1:17" ht="53.4" thickBot="1" x14ac:dyDescent="0.35">
      <c r="A3" s="1" t="s">
        <v>12</v>
      </c>
      <c r="B3" s="2" t="s">
        <v>0</v>
      </c>
      <c r="C3" s="1">
        <v>1</v>
      </c>
      <c r="D3" s="1">
        <v>13.99</v>
      </c>
      <c r="E3" s="3">
        <f>D3*C3</f>
        <v>13.99</v>
      </c>
      <c r="G3" s="1" t="s">
        <v>11</v>
      </c>
      <c r="H3" s="2" t="s">
        <v>6</v>
      </c>
      <c r="I3" s="1">
        <v>1</v>
      </c>
      <c r="J3" s="1">
        <v>45.6</v>
      </c>
      <c r="K3" s="3">
        <f>J3 * I3</f>
        <v>45.6</v>
      </c>
      <c r="M3" s="1" t="s">
        <v>15</v>
      </c>
      <c r="N3" s="2" t="s">
        <v>16</v>
      </c>
      <c r="O3" s="1">
        <v>4</v>
      </c>
      <c r="P3" s="1">
        <v>6.99</v>
      </c>
      <c r="Q3" s="3">
        <f>P3 * O3</f>
        <v>27.96</v>
      </c>
    </row>
    <row r="4" spans="1:17" ht="40.200000000000003" thickBot="1" x14ac:dyDescent="0.35">
      <c r="A4" s="1" t="s">
        <v>17</v>
      </c>
      <c r="B4" s="2" t="s">
        <v>0</v>
      </c>
      <c r="C4" s="1">
        <v>1</v>
      </c>
      <c r="D4" s="1">
        <v>9.99</v>
      </c>
      <c r="E4" s="3">
        <f t="shared" ref="E4:E16" si="0">D4*C4</f>
        <v>9.99</v>
      </c>
      <c r="G4" s="1" t="s">
        <v>10</v>
      </c>
      <c r="H4" s="2" t="s">
        <v>6</v>
      </c>
      <c r="I4" s="1">
        <v>1</v>
      </c>
      <c r="J4" s="1">
        <v>3.9</v>
      </c>
      <c r="K4" s="3">
        <f>J4 * I4</f>
        <v>3.9</v>
      </c>
      <c r="M4" s="1"/>
      <c r="N4" s="2"/>
      <c r="O4" s="1"/>
      <c r="P4" s="1"/>
      <c r="Q4" s="3">
        <f>P4 * O4</f>
        <v>0</v>
      </c>
    </row>
    <row r="5" spans="1:17" ht="53.4" thickBot="1" x14ac:dyDescent="0.35">
      <c r="A5" s="1"/>
      <c r="B5" s="2"/>
      <c r="C5" s="1"/>
      <c r="D5" s="1"/>
      <c r="E5" s="3">
        <f t="shared" si="0"/>
        <v>0</v>
      </c>
      <c r="G5" s="1" t="s">
        <v>13</v>
      </c>
      <c r="H5" s="2" t="s">
        <v>6</v>
      </c>
      <c r="I5" s="1">
        <v>2</v>
      </c>
      <c r="J5" s="1">
        <v>4.5</v>
      </c>
      <c r="K5" s="3">
        <f t="shared" ref="K5:K9" si="1">J5 * I5</f>
        <v>9</v>
      </c>
      <c r="M5" s="1"/>
      <c r="N5" s="2"/>
      <c r="O5" s="1"/>
      <c r="P5" s="1"/>
      <c r="Q5" s="3">
        <f t="shared" ref="Q5:Q9" si="2">P5 * O5</f>
        <v>0</v>
      </c>
    </row>
    <row r="6" spans="1:17" ht="15" thickBot="1" x14ac:dyDescent="0.35">
      <c r="A6" s="1"/>
      <c r="B6" s="2"/>
      <c r="C6" s="1"/>
      <c r="D6" s="1"/>
      <c r="E6" s="3">
        <f t="shared" si="0"/>
        <v>0</v>
      </c>
      <c r="G6" s="1"/>
      <c r="H6" s="2"/>
      <c r="I6" s="1"/>
      <c r="J6" s="1"/>
      <c r="K6" s="3">
        <f t="shared" si="1"/>
        <v>0</v>
      </c>
      <c r="M6" s="1"/>
      <c r="N6" s="2"/>
      <c r="O6" s="1"/>
      <c r="P6" s="1"/>
      <c r="Q6" s="3">
        <f t="shared" si="2"/>
        <v>0</v>
      </c>
    </row>
    <row r="7" spans="1:17" ht="15" thickBot="1" x14ac:dyDescent="0.35">
      <c r="A7" s="1"/>
      <c r="B7" s="2"/>
      <c r="C7" s="1"/>
      <c r="D7" s="1"/>
      <c r="E7" s="3">
        <f t="shared" si="0"/>
        <v>0</v>
      </c>
      <c r="G7" s="1"/>
      <c r="H7" s="2"/>
      <c r="I7" s="1"/>
      <c r="J7" s="1"/>
      <c r="K7" s="3">
        <f t="shared" si="1"/>
        <v>0</v>
      </c>
      <c r="M7" s="1"/>
      <c r="N7" s="2"/>
      <c r="O7" s="1"/>
      <c r="P7" s="1"/>
      <c r="Q7" s="3">
        <f t="shared" si="2"/>
        <v>0</v>
      </c>
    </row>
    <row r="8" spans="1:17" ht="15" thickBot="1" x14ac:dyDescent="0.35">
      <c r="A8" s="1"/>
      <c r="B8" s="2"/>
      <c r="C8" s="1"/>
      <c r="D8" s="1"/>
      <c r="E8" s="3">
        <f t="shared" si="0"/>
        <v>0</v>
      </c>
      <c r="G8" s="1"/>
      <c r="H8" s="2"/>
      <c r="I8" s="1"/>
      <c r="J8" s="1"/>
      <c r="K8" s="3">
        <f t="shared" si="1"/>
        <v>0</v>
      </c>
      <c r="M8" s="1"/>
      <c r="N8" s="2"/>
      <c r="O8" s="1"/>
      <c r="P8" s="1"/>
      <c r="Q8" s="3">
        <f t="shared" si="2"/>
        <v>0</v>
      </c>
    </row>
    <row r="9" spans="1:17" ht="15" thickBot="1" x14ac:dyDescent="0.35">
      <c r="A9" s="1"/>
      <c r="B9" s="2"/>
      <c r="C9" s="1"/>
      <c r="D9" s="1"/>
      <c r="E9" s="3">
        <f t="shared" si="0"/>
        <v>0</v>
      </c>
      <c r="G9" s="1"/>
      <c r="H9" s="2"/>
      <c r="I9" s="1"/>
      <c r="J9" s="1"/>
      <c r="K9" s="3">
        <f t="shared" si="1"/>
        <v>0</v>
      </c>
      <c r="M9" s="1"/>
      <c r="N9" s="2"/>
      <c r="O9" s="1"/>
      <c r="P9" s="1"/>
      <c r="Q9" s="3">
        <f t="shared" si="2"/>
        <v>0</v>
      </c>
    </row>
    <row r="10" spans="1:17" ht="15" thickBot="1" x14ac:dyDescent="0.35">
      <c r="A10" s="1"/>
      <c r="B10" s="2"/>
      <c r="C10" s="1"/>
      <c r="D10" s="1"/>
      <c r="E10" s="3">
        <f t="shared" si="0"/>
        <v>0</v>
      </c>
      <c r="G10" s="6"/>
      <c r="H10" s="6"/>
      <c r="I10" s="6"/>
      <c r="J10" s="6" t="s">
        <v>7</v>
      </c>
      <c r="K10" s="6">
        <f>SUM(K3:K9)</f>
        <v>58.5</v>
      </c>
      <c r="M10" s="6"/>
      <c r="N10" s="6"/>
      <c r="O10" s="6"/>
      <c r="P10" s="6" t="s">
        <v>7</v>
      </c>
      <c r="Q10" s="6">
        <f>SUM(Q3:Q9)</f>
        <v>27.96</v>
      </c>
    </row>
    <row r="11" spans="1:17" ht="15" thickBot="1" x14ac:dyDescent="0.35">
      <c r="A11" s="1"/>
      <c r="B11" s="2"/>
      <c r="C11" s="1"/>
      <c r="D11" s="1"/>
      <c r="E11" s="3">
        <f t="shared" si="0"/>
        <v>0</v>
      </c>
    </row>
    <row r="12" spans="1:17" ht="15" thickBot="1" x14ac:dyDescent="0.35">
      <c r="A12" s="1"/>
      <c r="B12" s="2"/>
      <c r="C12" s="1"/>
      <c r="D12" s="1"/>
      <c r="E12" s="3">
        <f t="shared" si="0"/>
        <v>0</v>
      </c>
    </row>
    <row r="13" spans="1:17" ht="15" thickBot="1" x14ac:dyDescent="0.35">
      <c r="A13" s="1"/>
      <c r="B13" s="2"/>
      <c r="C13" s="1"/>
      <c r="D13" s="1"/>
      <c r="E13" s="3">
        <f t="shared" si="0"/>
        <v>0</v>
      </c>
    </row>
    <row r="14" spans="1:17" ht="15" thickBot="1" x14ac:dyDescent="0.35">
      <c r="A14" s="1"/>
      <c r="B14" s="2"/>
      <c r="C14" s="1"/>
      <c r="D14" s="1"/>
      <c r="E14" s="3">
        <f t="shared" si="0"/>
        <v>0</v>
      </c>
    </row>
    <row r="15" spans="1:17" ht="15" thickBot="1" x14ac:dyDescent="0.35">
      <c r="A15" s="1"/>
      <c r="B15" s="2"/>
      <c r="C15" s="1"/>
      <c r="D15" s="1"/>
      <c r="E15" s="3">
        <f t="shared" si="0"/>
        <v>0</v>
      </c>
    </row>
    <row r="16" spans="1:17" ht="15" thickBot="1" x14ac:dyDescent="0.35">
      <c r="A16" s="1"/>
      <c r="B16" s="2"/>
      <c r="C16" s="1"/>
      <c r="D16" s="1"/>
      <c r="E16" s="3">
        <f t="shared" si="0"/>
        <v>0</v>
      </c>
    </row>
    <row r="17" spans="4:6" x14ac:dyDescent="0.3">
      <c r="D17" s="4" t="s">
        <v>7</v>
      </c>
      <c r="E17" s="4">
        <f>SUM(E3:E16)</f>
        <v>23.98</v>
      </c>
    </row>
    <row r="20" spans="4:6" x14ac:dyDescent="0.3">
      <c r="E20" s="4" t="s">
        <v>9</v>
      </c>
      <c r="F20" s="4">
        <f>E17+K10</f>
        <v>82.48</v>
      </c>
    </row>
  </sheetData>
  <mergeCells count="3">
    <mergeCell ref="A1:E1"/>
    <mergeCell ref="G1:K1"/>
    <mergeCell ref="M1:Q1"/>
  </mergeCells>
  <hyperlinks>
    <hyperlink ref="H3" r:id="rId1" xr:uid="{25BD2FED-59DF-4F06-B597-1A2037BBEC7E}"/>
    <hyperlink ref="H4" r:id="rId2" xr:uid="{708C6FB4-723C-47AD-B454-D16632EB3302}"/>
    <hyperlink ref="B3" r:id="rId3" xr:uid="{4801B209-DC4B-43BF-AF5A-AE139D7CB175}"/>
    <hyperlink ref="H5" r:id="rId4" xr:uid="{32493E05-45BB-46BF-8E13-DF9ECE602899}"/>
    <hyperlink ref="N3" r:id="rId5" xr:uid="{629FBB25-1466-4969-8557-946FFEE5D250}"/>
    <hyperlink ref="B4" r:id="rId6" xr:uid="{765B9022-735F-4C1E-A3C2-60FC660D222C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SZEWCZYK</dc:creator>
  <cp:lastModifiedBy>Adrien VERSTREPEN</cp:lastModifiedBy>
  <dcterms:created xsi:type="dcterms:W3CDTF">2025-02-18T12:36:20Z</dcterms:created>
  <dcterms:modified xsi:type="dcterms:W3CDTF">2026-03-10T08:55:31Z</dcterms:modified>
</cp:coreProperties>
</file>