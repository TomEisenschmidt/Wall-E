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catholille-my.sharepoint.com/personal/2022664572_lacatholille_fr/Documents/Documents/GitHub/Wall-E/"/>
    </mc:Choice>
  </mc:AlternateContent>
  <xr:revisionPtr revIDLastSave="60" documentId="8_{BE63E129-0D5A-4880-BD79-31C8CF85A2EF}" xr6:coauthVersionLast="47" xr6:coauthVersionMax="47" xr10:uidLastSave="{024A2C92-E171-4084-A4F4-13738BB26FC6}"/>
  <bookViews>
    <workbookView xWindow="-108" yWindow="-108" windowWidth="23256" windowHeight="12456" xr2:uid="{628229A8-2AAB-4DC0-91F2-C8509B4C66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Q9" i="1"/>
  <c r="Q8" i="1"/>
  <c r="Q7" i="1"/>
  <c r="Q6" i="1"/>
  <c r="Q5" i="1"/>
  <c r="Q4" i="1"/>
  <c r="Q3" i="1"/>
  <c r="Q10" i="1" s="1"/>
  <c r="K5" i="1"/>
  <c r="K6" i="1"/>
  <c r="K7" i="1"/>
  <c r="K8" i="1"/>
  <c r="K9" i="1"/>
  <c r="K4" i="1"/>
  <c r="K3" i="1"/>
  <c r="E17" i="1" l="1"/>
  <c r="K10" i="1"/>
  <c r="F20" i="1" l="1"/>
</calcChain>
</file>

<file path=xl/sharedStrings.xml><?xml version="1.0" encoding="utf-8"?>
<sst xmlns="http://schemas.openxmlformats.org/spreadsheetml/2006/main" count="42" uniqueCount="29">
  <si>
    <t>Amazon</t>
  </si>
  <si>
    <t>Composant</t>
  </si>
  <si>
    <t>Lien</t>
  </si>
  <si>
    <t>Quantité</t>
  </si>
  <si>
    <t>Prix/Unitaire</t>
  </si>
  <si>
    <t>Total/produit</t>
  </si>
  <si>
    <t>Total</t>
  </si>
  <si>
    <t>Gotronic</t>
  </si>
  <si>
    <t>Total commande :</t>
  </si>
  <si>
    <t>Conrad</t>
  </si>
  <si>
    <t>M4 Vis Boulons et Écrous et Rondelles Set</t>
  </si>
  <si>
    <t>Colle Forte</t>
  </si>
  <si>
    <t xml:space="preserve">Pince à dénudé </t>
  </si>
  <si>
    <t>Servo Moteur Linéaire</t>
  </si>
  <si>
    <t>US HC-SR04</t>
  </si>
  <si>
    <t>Support HC-SR04</t>
  </si>
  <si>
    <t>Kit_Vis</t>
  </si>
  <si>
    <t>Colle</t>
  </si>
  <si>
    <t>Pince</t>
  </si>
  <si>
    <t>Support Capteur US</t>
  </si>
  <si>
    <t>servomoteur-lineaire</t>
  </si>
  <si>
    <t>detection-us</t>
  </si>
  <si>
    <t xml:space="preserve">Carte de dévelopement moteur </t>
  </si>
  <si>
    <t>Motodriver</t>
  </si>
  <si>
    <t>Motoréducteur</t>
  </si>
  <si>
    <t>Moteur</t>
  </si>
  <si>
    <t>Roue 6,8 cm</t>
  </si>
  <si>
    <t>roues</t>
  </si>
  <si>
    <t>Roues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</si>
</sst>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tronic.fr/art-motoreducteur-2-axes-3487-27384.htm" TargetMode="External"/><Relationship Id="rId3" Type="http://schemas.openxmlformats.org/officeDocument/2006/relationships/hyperlink" Target="https://www.amazon.fr/UHU-Colle-tout-super-transparente/dp/B004QMADSW/ref=sr_1_6?crid=3O03WF94EH2IS&amp;dib=eyJ2IjoiMSJ9.em5qDr9gL83L_58kZU213IBNfPoilnyhp8vnwOj1t_qP3gxWGUdiZymcbA-_NlrduWFWN7WrbvrvIreDpQllLPH9cceLwEwrKv9zJeNlktYqVlb2piSXFN-IqHH5AtQP81ClZR4BTED2woYjPz0GZFH5bzN1HXGDBKgmhLnrtRWXATod8e9sOAI6Hyh-t4VAT20xLUfhEdIhjcMR8XTxk6U5e9x-0QbYdhIGKsxuPU-XoXzjUkjMO29ntmNU4p9vz2wDJg0COBS17YINBnTDmcGOA_HWIR5C-lUuKKuIXSc.uohl2RotlTaNwHRNAMW9HxeEayzYtTYkpnzcg_9nn2M&amp;dib_tag=se&amp;keywords=colle&amp;qid=1777465498&amp;sprefix=colle%2Caps%2C262&amp;sr=8-6&amp;th=1" TargetMode="External"/><Relationship Id="rId7" Type="http://schemas.openxmlformats.org/officeDocument/2006/relationships/hyperlink" Target="https://www.conrad.fr/fr/p/joy-it-sbc-motodriver2-carte-de-developpement-1-pc-s-1573541.html?experience=b2c&amp;qwer=Cj0KCQjw2MbPBhCSARIsAP3jP9xH37xeCRiX6R1gOjSsFhEc4-ThcflKp4INWAKgifEjtdOPOxaon5saAm8mEALw_wcB&amp;utm_source=google&amp;utm_medium=cpc&amp;utm_campaign=SH%20-%20FR%20-%20Performance%20max%20-%20Brand%20traffic&amp;utm_id=21183760545" TargetMode="External"/><Relationship Id="rId2" Type="http://schemas.openxmlformats.org/officeDocument/2006/relationships/hyperlink" Target="https://www.amazon.fr/Boulons-Rondelles-Hexagonale-Inoxydable-Assortiment/dp/B0DQTTY82R/ref=sr_1_6?crid=R1ZP4DKTB1AR&amp;dib=eyJ2IjoiMSJ9.rUS-UPgECdLjzkleEiYCPj1h0LY0DR80AhxwyRm_Tq7oAUCaqHS4J9K_hnHg3nmfSv82KOw9waRnFGZNYhRnVIPGTo4JYi_4-VqUJTSipEYH1FCRGz24Mq4ddWp9aC2gZ2mASpnBdePBKHekwP4UT3pggZfn7Xi562FLKxKlvdMLW3-vBEDUj2YZYNJerFrDI0urRJ2TmzgsVxnSzHTV2LCpYYWOU1pM7E1fdkenNbJsA-yWd8nZNXeyxa52qbUqF9hXccDxgTbS4Gry8tnO848TXNPHmUbi63Poi_v6x-Y.AaIL2HmthjOeF-LWhrqI1VLYFXqw6sfwE0N1v-k-WzE&amp;dib_tag=se&amp;keywords=kit+de+vis+m4&amp;qid=1777275825&amp;sprefix=kit+de+vis+M4%2Caps%2C227&amp;sr=8-6" TargetMode="External"/><Relationship Id="rId1" Type="http://schemas.openxmlformats.org/officeDocument/2006/relationships/hyperlink" Target="https://www.amazon.fr/Support-montage-capteur-ultrasons-intelligente/dp/B0848F4BF8/ref=sr_1_13?dib=eyJ2IjoiMSJ9.B2LkMtbxPsyQfT-jFLERlYe0sTJlcVjvPxBDhKVBc7JkUSB_tUErbNjhePpOYnryPxpG_rkdJc614CLqGDYSkkw6VLQf7YRBWVv-s3sNj2OtViKLkeZGYLTfAa6eNrnBYvBP_ywXJ10oilovem_mzrk4zPIxMK-wvAD7wxhJECqD-fuknJRw_YU7nmD00RD9em5WJY7S8jsqEU_G9wzm1XwohlN8I0KWeqll4Jtf1nJNSNPqxzgjhhx4k-YH2lRpnn_rYU49n85uTp5USvih75ghGjLotOxm8X7tueXJnt4.X1DoH0MSVDFJ90Li72WLkpctosj30nqQJE-e0ON3nvU&amp;dib_tag=se&amp;keywords=support+HC-SR04&amp;qid=1777280310&amp;sr=8-13" TargetMode="External"/><Relationship Id="rId6" Type="http://schemas.openxmlformats.org/officeDocument/2006/relationships/hyperlink" Target="https://www.gotronic.fr/art-module-de-detection-us-hc-sr04-20912.ht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otronic.fr/art-servomoteur-lineaire-2595-30098.htm" TargetMode="External"/><Relationship Id="rId10" Type="http://schemas.openxmlformats.org/officeDocument/2006/relationships/hyperlink" Target="https://www.gotronic.fr/art-roue-tout-terrain-120-mm-dg3cr-12401.htm" TargetMode="External"/><Relationship Id="rId4" Type="http://schemas.openxmlformats.org/officeDocument/2006/relationships/hyperlink" Target="https://www.amazon.fr/Bosch-Professional-1600A01V03-Chrome-Vanadium-softgrip/dp/B095SV614X/ref=sr_1_7?c=ts&amp;dib=eyJ2IjoiMSJ9.wKBcqMa1l0XL-dRQn0HMXxl_R4tH_H998PqvlnVMc6pFeDHVrA6xYMh5_7TkZTIcEyFDLOiWMy-dJCZRi9BiuCK_6wLNgyJvZrW6Hw4JNvy9EeVztpAa9plEsVs-irMLqxPhsOy3iedZQr4FOmYigNTixyH-wsGkYoQJwlNOmiuus4eENAY6VbUqh2l-YC-JCPBnXoxUkA6V4kbM8rdCtveiqL7x4fnoRl4vww8jCgA.1LbUxwqLxxDbcbpZMPvWhVefJjxXacsNeAx-whfKeUg&amp;dib_tag=se&amp;keywords=Pince%2B%C3%A0%2Bd%C3%A9nuder%2Bde%2Bc%C3%A2bles&amp;qid=1777278532&amp;s=hi&amp;sr=1-7&amp;ts_id=2678377031&amp;th=1" TargetMode="External"/><Relationship Id="rId9" Type="http://schemas.openxmlformats.org/officeDocument/2006/relationships/hyperlink" Target="https://www.gotronic.fr/art-roues-68x25-mm-492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F875-FE1A-4763-904E-96A263B04FFD}">
  <dimension ref="A1:Q20"/>
  <sheetViews>
    <sheetView tabSelected="1" zoomScale="88" workbookViewId="0">
      <selection activeCell="J17" sqref="J17"/>
    </sheetView>
  </sheetViews>
  <sheetFormatPr baseColWidth="10" defaultColWidth="11.44140625" defaultRowHeight="14.4" x14ac:dyDescent="0.3"/>
  <cols>
    <col min="1" max="1" width="19.33203125" style="4" customWidth="1"/>
    <col min="2" max="2" width="14.33203125" style="4" customWidth="1"/>
    <col min="3" max="3" width="13.88671875" style="4" customWidth="1"/>
    <col min="4" max="4" width="15" style="4" customWidth="1"/>
    <col min="5" max="5" width="13.44140625" style="4" customWidth="1"/>
    <col min="6" max="6" width="11.44140625" style="4"/>
    <col min="7" max="7" width="13.88671875" style="4" customWidth="1"/>
    <col min="8" max="9" width="11.44140625" style="4"/>
    <col min="10" max="10" width="12.44140625" style="4" bestFit="1" customWidth="1"/>
    <col min="11" max="11" width="12.88671875" style="4" bestFit="1" customWidth="1"/>
    <col min="12" max="12" width="11.44140625" style="4"/>
    <col min="13" max="13" width="13.88671875" style="4" customWidth="1"/>
    <col min="14" max="16384" width="11.44140625" style="4"/>
  </cols>
  <sheetData>
    <row r="1" spans="1:17" x14ac:dyDescent="0.3">
      <c r="A1" s="7" t="s">
        <v>0</v>
      </c>
      <c r="B1" s="7"/>
      <c r="C1" s="7"/>
      <c r="D1" s="7"/>
      <c r="E1" s="7"/>
      <c r="G1" s="7" t="s">
        <v>7</v>
      </c>
      <c r="H1" s="7"/>
      <c r="I1" s="7"/>
      <c r="J1" s="7"/>
      <c r="K1" s="7"/>
      <c r="M1" s="7" t="s">
        <v>9</v>
      </c>
      <c r="N1" s="7"/>
      <c r="O1" s="7"/>
      <c r="P1" s="7"/>
      <c r="Q1" s="7"/>
    </row>
    <row r="2" spans="1:17" ht="15" thickBo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M2" s="5" t="s">
        <v>1</v>
      </c>
      <c r="N2" s="5" t="s">
        <v>2</v>
      </c>
      <c r="O2" s="5" t="s">
        <v>3</v>
      </c>
      <c r="P2" s="5" t="s">
        <v>4</v>
      </c>
      <c r="Q2" s="5" t="s">
        <v>5</v>
      </c>
    </row>
    <row r="3" spans="1:17" ht="40.200000000000003" thickBot="1" x14ac:dyDescent="0.35">
      <c r="A3" s="1" t="s">
        <v>10</v>
      </c>
      <c r="B3" s="8" t="s">
        <v>16</v>
      </c>
      <c r="C3" s="1">
        <v>1</v>
      </c>
      <c r="D3" s="1">
        <v>10.99</v>
      </c>
      <c r="E3" s="3">
        <f>D3*C3</f>
        <v>10.99</v>
      </c>
      <c r="G3" s="1" t="s">
        <v>13</v>
      </c>
      <c r="H3" s="8" t="s">
        <v>20</v>
      </c>
      <c r="I3" s="1">
        <v>2</v>
      </c>
      <c r="J3" s="1">
        <v>9.6</v>
      </c>
      <c r="K3" s="3">
        <f>J3 * I3</f>
        <v>19.2</v>
      </c>
      <c r="M3" s="1" t="s">
        <v>22</v>
      </c>
      <c r="N3" s="2" t="s">
        <v>23</v>
      </c>
      <c r="O3" s="1">
        <v>1</v>
      </c>
      <c r="P3" s="1">
        <v>5.99</v>
      </c>
      <c r="Q3" s="3">
        <f>P3 * O3</f>
        <v>5.99</v>
      </c>
    </row>
    <row r="4" spans="1:17" ht="27" thickBot="1" x14ac:dyDescent="0.35">
      <c r="A4" s="1" t="s">
        <v>11</v>
      </c>
      <c r="B4" s="8" t="s">
        <v>17</v>
      </c>
      <c r="C4" s="1">
        <v>1</v>
      </c>
      <c r="D4" s="1">
        <v>3.69</v>
      </c>
      <c r="E4" s="3">
        <f t="shared" ref="E4:E16" si="0">D4*C4</f>
        <v>3.69</v>
      </c>
      <c r="G4" s="1" t="s">
        <v>14</v>
      </c>
      <c r="H4" s="8" t="s">
        <v>21</v>
      </c>
      <c r="I4" s="1">
        <v>1</v>
      </c>
      <c r="J4" s="1">
        <v>3.9</v>
      </c>
      <c r="K4" s="3">
        <f>J4 * I4</f>
        <v>3.9</v>
      </c>
      <c r="M4" s="1"/>
      <c r="N4" s="2"/>
      <c r="O4" s="1"/>
      <c r="P4" s="1"/>
      <c r="Q4" s="3">
        <f>P4 * O4</f>
        <v>0</v>
      </c>
    </row>
    <row r="5" spans="1:17" ht="27" thickBot="1" x14ac:dyDescent="0.35">
      <c r="A5" s="1" t="s">
        <v>12</v>
      </c>
      <c r="B5" s="8" t="s">
        <v>18</v>
      </c>
      <c r="C5" s="1">
        <v>1</v>
      </c>
      <c r="D5" s="1">
        <v>16.989999999999998</v>
      </c>
      <c r="E5" s="3">
        <f t="shared" si="0"/>
        <v>16.989999999999998</v>
      </c>
      <c r="G5" s="1" t="s">
        <v>24</v>
      </c>
      <c r="H5" s="9" t="s">
        <v>25</v>
      </c>
      <c r="I5" s="1">
        <v>2</v>
      </c>
      <c r="J5" s="1">
        <v>41.5</v>
      </c>
      <c r="K5" s="3">
        <f t="shared" ref="K5:K9" si="1">J5 * I5</f>
        <v>83</v>
      </c>
      <c r="M5" s="1"/>
      <c r="N5" s="2"/>
      <c r="O5" s="1"/>
      <c r="P5" s="1"/>
      <c r="Q5" s="3">
        <f t="shared" ref="Q5:Q9" si="2">P5 * O5</f>
        <v>0</v>
      </c>
    </row>
    <row r="6" spans="1:17" ht="15" thickBot="1" x14ac:dyDescent="0.35">
      <c r="A6" s="1" t="s">
        <v>15</v>
      </c>
      <c r="B6" s="8" t="s">
        <v>19</v>
      </c>
      <c r="C6" s="1">
        <v>1</v>
      </c>
      <c r="D6" s="1">
        <v>5.91</v>
      </c>
      <c r="E6" s="3">
        <f t="shared" si="0"/>
        <v>5.91</v>
      </c>
      <c r="G6" s="1" t="s">
        <v>28</v>
      </c>
      <c r="H6" s="2" t="s">
        <v>28</v>
      </c>
      <c r="I6" s="1">
        <v>4</v>
      </c>
      <c r="J6" s="1">
        <v>7.9</v>
      </c>
      <c r="K6" s="3">
        <f t="shared" si="1"/>
        <v>31.6</v>
      </c>
      <c r="M6" s="1"/>
      <c r="N6" s="2"/>
      <c r="O6" s="1"/>
      <c r="P6" s="1"/>
      <c r="Q6" s="3">
        <f t="shared" si="2"/>
        <v>0</v>
      </c>
    </row>
    <row r="7" spans="1:17" ht="15" thickBot="1" x14ac:dyDescent="0.35">
      <c r="A7" s="1" t="s">
        <v>26</v>
      </c>
      <c r="B7" s="9" t="s">
        <v>27</v>
      </c>
      <c r="C7" s="1">
        <v>4</v>
      </c>
      <c r="D7" s="1">
        <v>2.5</v>
      </c>
      <c r="E7" s="3">
        <f t="shared" si="0"/>
        <v>10</v>
      </c>
      <c r="G7" s="1"/>
      <c r="H7" s="2"/>
      <c r="I7" s="1"/>
      <c r="J7" s="1"/>
      <c r="K7" s="3">
        <f t="shared" si="1"/>
        <v>0</v>
      </c>
      <c r="M7" s="1"/>
      <c r="N7" s="2"/>
      <c r="O7" s="1"/>
      <c r="P7" s="1"/>
      <c r="Q7" s="3">
        <f t="shared" si="2"/>
        <v>0</v>
      </c>
    </row>
    <row r="8" spans="1:17" ht="15" thickBot="1" x14ac:dyDescent="0.35">
      <c r="A8" s="1"/>
      <c r="B8" s="2"/>
      <c r="C8" s="1"/>
      <c r="D8" s="1"/>
      <c r="E8" s="3">
        <f t="shared" si="0"/>
        <v>0</v>
      </c>
      <c r="G8" s="1"/>
      <c r="H8" s="2"/>
      <c r="I8" s="1"/>
      <c r="J8" s="1"/>
      <c r="K8" s="3">
        <f t="shared" si="1"/>
        <v>0</v>
      </c>
      <c r="M8" s="1"/>
      <c r="N8" s="2"/>
      <c r="O8" s="1"/>
      <c r="P8" s="1"/>
      <c r="Q8" s="3">
        <f t="shared" si="2"/>
        <v>0</v>
      </c>
    </row>
    <row r="9" spans="1:17" ht="15" thickBot="1" x14ac:dyDescent="0.35">
      <c r="A9" s="1"/>
      <c r="B9" s="2"/>
      <c r="C9" s="1"/>
      <c r="D9" s="1"/>
      <c r="E9" s="3">
        <f t="shared" si="0"/>
        <v>0</v>
      </c>
      <c r="G9" s="1"/>
      <c r="H9" s="2"/>
      <c r="I9" s="1"/>
      <c r="J9" s="1"/>
      <c r="K9" s="3">
        <f t="shared" si="1"/>
        <v>0</v>
      </c>
      <c r="M9" s="1"/>
      <c r="N9" s="2"/>
      <c r="O9" s="1"/>
      <c r="P9" s="1"/>
      <c r="Q9" s="3">
        <f t="shared" si="2"/>
        <v>0</v>
      </c>
    </row>
    <row r="10" spans="1:17" ht="15" thickBot="1" x14ac:dyDescent="0.35">
      <c r="A10" s="1"/>
      <c r="B10" s="2"/>
      <c r="C10" s="1"/>
      <c r="D10" s="1"/>
      <c r="E10" s="3">
        <f t="shared" si="0"/>
        <v>0</v>
      </c>
      <c r="G10" s="6"/>
      <c r="H10" s="6"/>
      <c r="I10" s="6"/>
      <c r="J10" s="6" t="s">
        <v>6</v>
      </c>
      <c r="K10" s="6">
        <f>SUM(K3:K9)</f>
        <v>137.69999999999999</v>
      </c>
      <c r="M10" s="6"/>
      <c r="N10" s="6"/>
      <c r="O10" s="6"/>
      <c r="P10" s="6" t="s">
        <v>6</v>
      </c>
      <c r="Q10" s="6">
        <f>SUM(Q3:Q9)</f>
        <v>5.99</v>
      </c>
    </row>
    <row r="11" spans="1:17" ht="15" thickBot="1" x14ac:dyDescent="0.35">
      <c r="A11" s="1"/>
      <c r="B11" s="2"/>
      <c r="C11" s="1"/>
      <c r="D11" s="1"/>
      <c r="E11" s="3">
        <f t="shared" si="0"/>
        <v>0</v>
      </c>
    </row>
    <row r="12" spans="1:17" ht="15" thickBot="1" x14ac:dyDescent="0.35">
      <c r="A12" s="1"/>
      <c r="B12" s="2"/>
      <c r="C12" s="1"/>
      <c r="D12" s="1"/>
      <c r="E12" s="3">
        <f t="shared" si="0"/>
        <v>0</v>
      </c>
    </row>
    <row r="13" spans="1:17" ht="15" thickBot="1" x14ac:dyDescent="0.35">
      <c r="A13" s="1"/>
      <c r="B13" s="2"/>
      <c r="C13" s="1"/>
      <c r="D13" s="1"/>
      <c r="E13" s="3">
        <f t="shared" si="0"/>
        <v>0</v>
      </c>
    </row>
    <row r="14" spans="1:17" ht="15" thickBot="1" x14ac:dyDescent="0.35">
      <c r="A14" s="1"/>
      <c r="B14" s="2"/>
      <c r="C14" s="1"/>
      <c r="D14" s="1"/>
      <c r="E14" s="3">
        <f t="shared" si="0"/>
        <v>0</v>
      </c>
    </row>
    <row r="15" spans="1:17" ht="15" thickBot="1" x14ac:dyDescent="0.35">
      <c r="A15" s="1"/>
      <c r="B15" s="2"/>
      <c r="C15" s="1"/>
      <c r="D15" s="1"/>
      <c r="E15" s="3">
        <f t="shared" si="0"/>
        <v>0</v>
      </c>
    </row>
    <row r="16" spans="1:17" ht="15" thickBot="1" x14ac:dyDescent="0.35">
      <c r="A16" s="1"/>
      <c r="B16" s="2"/>
      <c r="C16" s="1"/>
      <c r="D16" s="1"/>
      <c r="E16" s="3">
        <f t="shared" si="0"/>
        <v>0</v>
      </c>
    </row>
    <row r="17" spans="4:6" x14ac:dyDescent="0.3">
      <c r="D17" s="4" t="s">
        <v>6</v>
      </c>
      <c r="E17" s="4">
        <f>SUM(E3:E16)</f>
        <v>47.58</v>
      </c>
    </row>
    <row r="20" spans="4:6" x14ac:dyDescent="0.3">
      <c r="E20" s="4" t="s">
        <v>8</v>
      </c>
      <c r="F20" s="4">
        <f>E17+K10+Q10</f>
        <v>191.26999999999998</v>
      </c>
    </row>
  </sheetData>
  <mergeCells count="3">
    <mergeCell ref="A1:E1"/>
    <mergeCell ref="G1:K1"/>
    <mergeCell ref="M1:Q1"/>
  </mergeCells>
  <hyperlinks>
    <hyperlink ref="B6" r:id="rId1" xr:uid="{A2396ABC-B9BA-437C-B44B-1F84DD243C0F}"/>
    <hyperlink ref="B3" r:id="rId2" xr:uid="{F2176E0C-8438-473E-BE62-FC337740B9F9}"/>
    <hyperlink ref="B4" r:id="rId3" xr:uid="{59B6E686-0E3F-4AC6-9E96-E88B024DE3F1}"/>
    <hyperlink ref="B5" r:id="rId4" xr:uid="{B9F93CEF-7CDC-46BA-A0E1-EE2E36C51C78}"/>
    <hyperlink ref="H3" r:id="rId5" xr:uid="{4A917253-B885-40AF-BA61-96BDC8072DCA}"/>
    <hyperlink ref="H4" r:id="rId6" xr:uid="{8F73C292-5C72-40EA-965D-2779DACD398E}"/>
    <hyperlink ref="N3" r:id="rId7" xr:uid="{28982B60-C361-4C7D-B830-B7118071D173}"/>
    <hyperlink ref="H5" r:id="rId8" xr:uid="{25176F36-EB02-4076-A93B-CA14B202C91A}"/>
    <hyperlink ref="B7" r:id="rId9" xr:uid="{12479C67-A5B4-4DD9-8BD7-3E9D8CBBEA8F}"/>
    <hyperlink ref="H6" r:id="rId10" xr:uid="{2F444DD1-A5AB-4FDE-8F52-BA749764DDBF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SZEWCZYK</dc:creator>
  <cp:lastModifiedBy>Tom EISENSCHMIDT</cp:lastModifiedBy>
  <dcterms:created xsi:type="dcterms:W3CDTF">2025-02-18T12:36:20Z</dcterms:created>
  <dcterms:modified xsi:type="dcterms:W3CDTF">2026-04-29T12:58:14Z</dcterms:modified>
</cp:coreProperties>
</file>